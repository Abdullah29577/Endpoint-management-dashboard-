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rol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'Dashboard'!$D$7:$D$8</f>
            </numRef>
          </cat>
          <val>
            <numRef>
              <f>'Dashboard'!$E$7:$E$8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Remediation Items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'Dashboard'!$A$7:$A$13</f>
            </numRef>
          </cat>
          <val>
            <numRef>
              <f>'Dashboard'!$B$7:$B$13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Asset ID</t>
        </is>
      </c>
      <c r="B1" s="1" t="inlineStr">
        <is>
          <t>Device Name</t>
        </is>
      </c>
      <c r="C1" s="1" t="inlineStr">
        <is>
          <t>Assigned User</t>
        </is>
      </c>
      <c r="D1" s="1" t="inlineStr">
        <is>
          <t>Device Type</t>
        </is>
      </c>
      <c r="E1" s="1" t="inlineStr">
        <is>
          <t>OS</t>
        </is>
      </c>
      <c r="F1" s="1" t="inlineStr">
        <is>
          <t>Intune Enrolled</t>
        </is>
      </c>
      <c r="G1" s="1" t="inlineStr">
        <is>
          <t>BitLocker</t>
        </is>
      </c>
      <c r="H1" s="1" t="inlineStr">
        <is>
          <t>MFA Enabled</t>
        </is>
      </c>
      <c r="I1" s="1" t="inlineStr">
        <is>
          <t>AV Enabled</t>
        </is>
      </c>
      <c r="J1" s="1" t="inlineStr">
        <is>
          <t>Patch Age Days</t>
        </is>
      </c>
      <c r="K1" s="1" t="inlineStr">
        <is>
          <t>Last Check-In</t>
        </is>
      </c>
      <c r="L1" s="1" t="inlineStr">
        <is>
          <t>Owner Verified</t>
        </is>
      </c>
      <c r="M1" s="1" t="inlineStr">
        <is>
          <t>Compliance Status</t>
        </is>
      </c>
      <c r="N1" s="1" t="inlineStr">
        <is>
          <t>Action Needed</t>
        </is>
      </c>
    </row>
    <row r="2">
      <c r="A2" s="2" t="inlineStr">
        <is>
          <t>IT-001</t>
        </is>
      </c>
      <c r="B2" s="2" t="inlineStr">
        <is>
          <t>LAP-001</t>
        </is>
      </c>
      <c r="C2" s="2" t="inlineStr">
        <is>
          <t>Sample User 1</t>
        </is>
      </c>
      <c r="D2" s="2" t="inlineStr">
        <is>
          <t>Laptop</t>
        </is>
      </c>
      <c r="E2" s="2" t="inlineStr">
        <is>
          <t>Windows 11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n">
        <v>8</v>
      </c>
      <c r="K2" s="3" t="n">
        <v>46169</v>
      </c>
      <c r="L2" s="2" t="inlineStr">
        <is>
          <t>Yes</t>
        </is>
      </c>
      <c r="M2" s="4">
        <f>IF(AND(F2="Yes",OR(G2="Yes",G2="N/A"),H2="Yes",I2="Yes",J2&lt;=30,TODAY()-K2&lt;=14,L2="Yes"),"Compliant","Non-Compliant")</f>
        <v/>
      </c>
      <c r="N2" s="5">
        <f>TEXTJOIN("; ",TRUE,IF(F2&lt;&gt;"Yes","Enroll in Intune",""),IF(AND(G2&lt;&gt;"Yes",G2&lt;&gt;"N/A"),"Enable BitLocker",""),IF(H2&lt;&gt;"Yes","Enable MFA",""),IF(I2&lt;&gt;"Yes","Enable AV",""),IF(J2&gt;30,"Update patches",""),IF(TODAY()-K2&gt;14,"Check inactive device",""),IF(L2&lt;&gt;"Yes","Verify owner",""))</f>
        <v/>
      </c>
    </row>
    <row r="3">
      <c r="A3" s="2" t="inlineStr">
        <is>
          <t>IT-002</t>
        </is>
      </c>
      <c r="B3" s="2" t="inlineStr">
        <is>
          <t>LAP-002</t>
        </is>
      </c>
      <c r="C3" s="2" t="inlineStr">
        <is>
          <t>Sample User 2</t>
        </is>
      </c>
      <c r="D3" s="2" t="inlineStr">
        <is>
          <t>Laptop</t>
        </is>
      </c>
      <c r="E3" s="2" t="inlineStr">
        <is>
          <t>Windows 10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2" t="n">
        <v>18</v>
      </c>
      <c r="K3" s="3" t="n">
        <v>46169</v>
      </c>
      <c r="L3" s="2" t="inlineStr">
        <is>
          <t>Yes</t>
        </is>
      </c>
      <c r="M3" s="4">
        <f>IF(AND(F3="Yes",OR(G3="Yes",G3="N/A"),H3="Yes",I3="Yes",J3&lt;=30,TODAY()-K3&lt;=14,L3="Yes"),"Compliant","Non-Compliant")</f>
        <v/>
      </c>
      <c r="N3" s="5">
        <f>TEXTJOIN("; ",TRUE,IF(F3&lt;&gt;"Yes","Enroll in Intune",""),IF(AND(G3&lt;&gt;"Yes",G3&lt;&gt;"N/A"),"Enable BitLocker",""),IF(H3&lt;&gt;"Yes","Enable MFA",""),IF(I3&lt;&gt;"Yes","Enable AV",""),IF(J3&gt;30,"Update patches",""),IF(TODAY()-K3&gt;14,"Check inactive device",""),IF(L3&lt;&gt;"Yes","Verify owner",""))</f>
        <v/>
      </c>
    </row>
    <row r="4">
      <c r="A4" s="2" t="inlineStr">
        <is>
          <t>IT-003</t>
        </is>
      </c>
      <c r="B4" s="2" t="inlineStr">
        <is>
          <t>DESK-001</t>
        </is>
      </c>
      <c r="C4" s="2" t="inlineStr">
        <is>
          <t>Sample User 3</t>
        </is>
      </c>
      <c r="D4" s="2" t="inlineStr">
        <is>
          <t>Desktop</t>
        </is>
      </c>
      <c r="E4" s="2" t="inlineStr">
        <is>
          <t>Windows 11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Yes</t>
        </is>
      </c>
      <c r="J4" s="2" t="n">
        <v>12</v>
      </c>
      <c r="K4" s="3" t="n">
        <v>46169</v>
      </c>
      <c r="L4" s="2" t="inlineStr">
        <is>
          <t>Yes</t>
        </is>
      </c>
      <c r="M4" s="4">
        <f>IF(AND(F4="Yes",OR(G4="Yes",G4="N/A"),H4="Yes",I4="Yes",J4&lt;=30,TODAY()-K4&lt;=14,L4="Yes"),"Compliant","Non-Compliant")</f>
        <v/>
      </c>
      <c r="N4" s="5">
        <f>TEXTJOIN("; ",TRUE,IF(F4&lt;&gt;"Yes","Enroll in Intune",""),IF(AND(G4&lt;&gt;"Yes",G4&lt;&gt;"N/A"),"Enable BitLocker",""),IF(H4&lt;&gt;"Yes","Enable MFA",""),IF(I4&lt;&gt;"Yes","Enable AV",""),IF(J4&gt;30,"Update patches",""),IF(TODAY()-K4&gt;14,"Check inactive device",""),IF(L4&lt;&gt;"Yes","Verify owner",""))</f>
        <v/>
      </c>
    </row>
    <row r="5">
      <c r="A5" s="2" t="inlineStr">
        <is>
          <t>IT-004</t>
        </is>
      </c>
      <c r="B5" s="2" t="inlineStr">
        <is>
          <t>LAP-003</t>
        </is>
      </c>
      <c r="C5" s="2" t="inlineStr">
        <is>
          <t>Sample User 4</t>
        </is>
      </c>
      <c r="D5" s="2" t="inlineStr">
        <is>
          <t>Laptop</t>
        </is>
      </c>
      <c r="E5" s="2" t="inlineStr">
        <is>
          <t>Windows 11</t>
        </is>
      </c>
      <c r="F5" s="2" t="inlineStr">
        <is>
          <t>No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n">
        <v>35</v>
      </c>
      <c r="K5" s="3" t="n">
        <v>46166</v>
      </c>
      <c r="L5" s="2" t="inlineStr">
        <is>
          <t>Yes</t>
        </is>
      </c>
      <c r="M5" s="4">
        <f>IF(AND(F5="Yes",OR(G5="Yes",G5="N/A"),H5="Yes",I5="Yes",J5&lt;=30,TODAY()-K5&lt;=14,L5="Yes"),"Compliant","Non-Compliant")</f>
        <v/>
      </c>
      <c r="N5" s="5">
        <f>TEXTJOIN("; ",TRUE,IF(F5&lt;&gt;"Yes","Enroll in Intune",""),IF(AND(G5&lt;&gt;"Yes",G5&lt;&gt;"N/A"),"Enable BitLocker",""),IF(H5&lt;&gt;"Yes","Enable MFA",""),IF(I5&lt;&gt;"Yes","Enable AV",""),IF(J5&gt;30,"Update patches",""),IF(TODAY()-K5&gt;14,"Check inactive device",""),IF(L5&lt;&gt;"Yes","Verify owner",""))</f>
        <v/>
      </c>
    </row>
    <row r="6">
      <c r="A6" s="2" t="inlineStr">
        <is>
          <t>IT-005</t>
        </is>
      </c>
      <c r="B6" s="2" t="inlineStr">
        <is>
          <t>LAP-004</t>
        </is>
      </c>
      <c r="C6" s="2" t="inlineStr">
        <is>
          <t>Sample User 5</t>
        </is>
      </c>
      <c r="D6" s="2" t="inlineStr">
        <is>
          <t>Laptop</t>
        </is>
      </c>
      <c r="E6" s="2" t="inlineStr">
        <is>
          <t>Windows 10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</t>
        </is>
      </c>
      <c r="J6" s="2" t="n">
        <v>22</v>
      </c>
      <c r="K6" s="3" t="n">
        <v>46167</v>
      </c>
      <c r="L6" s="2" t="inlineStr">
        <is>
          <t>Yes</t>
        </is>
      </c>
      <c r="M6" s="4">
        <f>IF(AND(F6="Yes",OR(G6="Yes",G6="N/A"),H6="Yes",I6="Yes",J6&lt;=30,TODAY()-K6&lt;=14,L6="Yes"),"Compliant","Non-Compliant")</f>
        <v/>
      </c>
      <c r="N6" s="5">
        <f>TEXTJOIN("; ",TRUE,IF(F6&lt;&gt;"Yes","Enroll in Intune",""),IF(AND(G6&lt;&gt;"Yes",G6&lt;&gt;"N/A"),"Enable BitLocker",""),IF(H6&lt;&gt;"Yes","Enable MFA",""),IF(I6&lt;&gt;"Yes","Enable AV",""),IF(J6&gt;30,"Update patches",""),IF(TODAY()-K6&gt;14,"Check inactive device",""),IF(L6&lt;&gt;"Yes","Verify owner",""))</f>
        <v/>
      </c>
    </row>
    <row r="7">
      <c r="A7" s="2" t="inlineStr">
        <is>
          <t>IT-006</t>
        </is>
      </c>
      <c r="B7" s="2" t="inlineStr">
        <is>
          <t>MOB-001</t>
        </is>
      </c>
      <c r="C7" s="2" t="inlineStr">
        <is>
          <t>Sample User 6</t>
        </is>
      </c>
      <c r="D7" s="2" t="inlineStr">
        <is>
          <t>Mobile</t>
        </is>
      </c>
      <c r="E7" s="2" t="inlineStr">
        <is>
          <t>iOS</t>
        </is>
      </c>
      <c r="F7" s="2" t="inlineStr">
        <is>
          <t>Yes</t>
        </is>
      </c>
      <c r="G7" s="2" t="inlineStr">
        <is>
          <t>N/A</t>
        </is>
      </c>
      <c r="H7" s="2" t="inlineStr">
        <is>
          <t>Yes</t>
        </is>
      </c>
      <c r="I7" s="2" t="inlineStr">
        <is>
          <t>Yes</t>
        </is>
      </c>
      <c r="J7" s="2" t="n">
        <v>5</v>
      </c>
      <c r="K7" s="3" t="n">
        <v>46169</v>
      </c>
      <c r="L7" s="2" t="inlineStr">
        <is>
          <t>Yes</t>
        </is>
      </c>
      <c r="M7" s="4">
        <f>IF(AND(F7="Yes",OR(G7="Yes",G7="N/A"),H7="Yes",I7="Yes",J7&lt;=30,TODAY()-K7&lt;=14,L7="Yes"),"Compliant","Non-Compliant")</f>
        <v/>
      </c>
      <c r="N7" s="5">
        <f>TEXTJOIN("; ",TRUE,IF(F7&lt;&gt;"Yes","Enroll in Intune",""),IF(AND(G7&lt;&gt;"Yes",G7&lt;&gt;"N/A"),"Enable BitLocker",""),IF(H7&lt;&gt;"Yes","Enable MFA",""),IF(I7&lt;&gt;"Yes","Enable AV",""),IF(J7&gt;30,"Update patches",""),IF(TODAY()-K7&gt;14,"Check inactive device",""),IF(L7&lt;&gt;"Yes","Verify owner",""))</f>
        <v/>
      </c>
    </row>
    <row r="8">
      <c r="A8" s="2" t="inlineStr">
        <is>
          <t>IT-007</t>
        </is>
      </c>
      <c r="B8" s="2" t="inlineStr">
        <is>
          <t>LAP-005</t>
        </is>
      </c>
      <c r="C8" s="2" t="inlineStr">
        <is>
          <t>Sample User 7</t>
        </is>
      </c>
      <c r="D8" s="2" t="inlineStr">
        <is>
          <t>Laptop</t>
        </is>
      </c>
      <c r="E8" s="2" t="inlineStr">
        <is>
          <t>Windows 11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n">
        <v>11</v>
      </c>
      <c r="K8" s="3" t="n">
        <v>46169</v>
      </c>
      <c r="L8" s="2" t="inlineStr">
        <is>
          <t>No</t>
        </is>
      </c>
      <c r="M8" s="4">
        <f>IF(AND(F8="Yes",OR(G8="Yes",G8="N/A"),H8="Yes",I8="Yes",J8&lt;=30,TODAY()-K8&lt;=14,L8="Yes"),"Compliant","Non-Compliant")</f>
        <v/>
      </c>
      <c r="N8" s="5">
        <f>TEXTJOIN("; ",TRUE,IF(F8&lt;&gt;"Yes","Enroll in Intune",""),IF(AND(G8&lt;&gt;"Yes",G8&lt;&gt;"N/A"),"Enable BitLocker",""),IF(H8&lt;&gt;"Yes","Enable MFA",""),IF(I8&lt;&gt;"Yes","Enable AV",""),IF(J8&gt;30,"Update patches",""),IF(TODAY()-K8&gt;14,"Check inactive device",""),IF(L8&lt;&gt;"Yes","Verify owner",""))</f>
        <v/>
      </c>
    </row>
    <row r="9">
      <c r="A9" s="2" t="inlineStr">
        <is>
          <t>IT-008</t>
        </is>
      </c>
      <c r="B9" s="2" t="inlineStr">
        <is>
          <t>DESK-002</t>
        </is>
      </c>
      <c r="C9" s="2" t="inlineStr">
        <is>
          <t>Sample User 8</t>
        </is>
      </c>
      <c r="D9" s="2" t="inlineStr">
        <is>
          <t>Desktop</t>
        </is>
      </c>
      <c r="E9" s="2" t="inlineStr">
        <is>
          <t>Windows 10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n">
        <v>41</v>
      </c>
      <c r="K9" s="3" t="n">
        <v>46154</v>
      </c>
      <c r="L9" s="2" t="inlineStr">
        <is>
          <t>Yes</t>
        </is>
      </c>
      <c r="M9" s="4">
        <f>IF(AND(F9="Yes",OR(G9="Yes",G9="N/A"),H9="Yes",I9="Yes",J9&lt;=30,TODAY()-K9&lt;=14,L9="Yes"),"Compliant","Non-Compliant")</f>
        <v/>
      </c>
      <c r="N9" s="5">
        <f>TEXTJOIN("; ",TRUE,IF(F9&lt;&gt;"Yes","Enroll in Intune",""),IF(AND(G9&lt;&gt;"Yes",G9&lt;&gt;"N/A"),"Enable BitLocker",""),IF(H9&lt;&gt;"Yes","Enable MFA",""),IF(I9&lt;&gt;"Yes","Enable AV",""),IF(J9&gt;30,"Update patches",""),IF(TODAY()-K9&gt;14,"Check inactive device",""),IF(L9&lt;&gt;"Yes","Verify owner",""))</f>
        <v/>
      </c>
    </row>
    <row r="10">
      <c r="A10" s="2" t="inlineStr">
        <is>
          <t>IT-009</t>
        </is>
      </c>
      <c r="B10" s="2" t="inlineStr">
        <is>
          <t>LAP-006</t>
        </is>
      </c>
      <c r="C10" s="2" t="inlineStr">
        <is>
          <t>Unassigned</t>
        </is>
      </c>
      <c r="D10" s="2" t="inlineStr">
        <is>
          <t>Laptop</t>
        </is>
      </c>
      <c r="E10" s="2" t="inlineStr">
        <is>
          <t>Windows 11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Yes</t>
        </is>
      </c>
      <c r="J10" s="2" t="n">
        <v>60</v>
      </c>
      <c r="K10" s="3" t="n">
        <v>46149</v>
      </c>
      <c r="L10" s="2" t="inlineStr">
        <is>
          <t>No</t>
        </is>
      </c>
      <c r="M10" s="4">
        <f>IF(AND(F10="Yes",OR(G10="Yes",G10="N/A"),H10="Yes",I10="Yes",J10&lt;=30,TODAY()-K10&lt;=14,L10="Yes"),"Compliant","Non-Compliant")</f>
        <v/>
      </c>
      <c r="N10" s="5">
        <f>TEXTJOIN("; ",TRUE,IF(F10&lt;&gt;"Yes","Enroll in Intune",""),IF(AND(G10&lt;&gt;"Yes",G10&lt;&gt;"N/A"),"Enable BitLocker",""),IF(H10&lt;&gt;"Yes","Enable MFA",""),IF(I10&lt;&gt;"Yes","Enable AV",""),IF(J10&gt;30,"Update patches",""),IF(TODAY()-K10&gt;14,"Check inactive device",""),IF(L10&lt;&gt;"Yes","Verify owner",""))</f>
        <v/>
      </c>
    </row>
    <row r="11">
      <c r="A11" s="2" t="inlineStr">
        <is>
          <t>IT-010</t>
        </is>
      </c>
      <c r="B11" s="2" t="inlineStr">
        <is>
          <t>MOB-002</t>
        </is>
      </c>
      <c r="C11" s="2" t="inlineStr">
        <is>
          <t>Sample User 2</t>
        </is>
      </c>
      <c r="D11" s="2" t="inlineStr">
        <is>
          <t>Mobile</t>
        </is>
      </c>
      <c r="E11" s="2" t="inlineStr">
        <is>
          <t>Android</t>
        </is>
      </c>
      <c r="F11" s="2" t="inlineStr">
        <is>
          <t>Yes</t>
        </is>
      </c>
      <c r="G11" s="2" t="inlineStr">
        <is>
          <t>N/A</t>
        </is>
      </c>
      <c r="H11" s="2" t="inlineStr">
        <is>
          <t>Yes</t>
        </is>
      </c>
      <c r="I11" s="2" t="inlineStr">
        <is>
          <t>Yes</t>
        </is>
      </c>
      <c r="J11" s="2" t="n">
        <v>9</v>
      </c>
      <c r="K11" s="3" t="n">
        <v>46169</v>
      </c>
      <c r="L11" s="2" t="inlineStr">
        <is>
          <t>Yes</t>
        </is>
      </c>
      <c r="M11" s="4">
        <f>IF(AND(F11="Yes",OR(G11="Yes",G11="N/A"),H11="Yes",I11="Yes",J11&lt;=30,TODAY()-K11&lt;=14,L11="Yes"),"Compliant","Non-Compliant")</f>
        <v/>
      </c>
      <c r="N11" s="5">
        <f>TEXTJOIN("; ",TRUE,IF(F11&lt;&gt;"Yes","Enroll in Intune",""),IF(AND(G11&lt;&gt;"Yes",G11&lt;&gt;"N/A"),"Enable BitLocker",""),IF(H11&lt;&gt;"Yes","Enable MFA",""),IF(I11&lt;&gt;"Yes","Enable AV",""),IF(J11&gt;30,"Update patches",""),IF(TODAY()-K11&gt;14,"Check inactive device",""),IF(L11&lt;&gt;"Yes","Verify owner",""))</f>
        <v/>
      </c>
    </row>
    <row r="12">
      <c r="A12" s="2" t="inlineStr">
        <is>
          <t>IT-011</t>
        </is>
      </c>
      <c r="B12" s="2" t="inlineStr">
        <is>
          <t>LAP-007</t>
        </is>
      </c>
      <c r="C12" s="2" t="inlineStr">
        <is>
          <t>Sample User 1</t>
        </is>
      </c>
      <c r="D12" s="2" t="inlineStr">
        <is>
          <t>Laptop</t>
        </is>
      </c>
      <c r="E12" s="2" t="inlineStr">
        <is>
          <t>Windows 11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n">
        <v>3</v>
      </c>
      <c r="K12" s="3" t="n">
        <v>46169</v>
      </c>
      <c r="L12" s="2" t="inlineStr">
        <is>
          <t>Yes</t>
        </is>
      </c>
      <c r="M12" s="4">
        <f>IF(AND(F12="Yes",OR(G12="Yes",G12="N/A"),H12="Yes",I12="Yes",J12&lt;=30,TODAY()-K12&lt;=14,L12="Yes"),"Compliant","Non-Compliant")</f>
        <v/>
      </c>
      <c r="N12" s="5">
        <f>TEXTJOIN("; ",TRUE,IF(F12&lt;&gt;"Yes","Enroll in Intune",""),IF(AND(G12&lt;&gt;"Yes",G12&lt;&gt;"N/A"),"Enable BitLocker",""),IF(H12&lt;&gt;"Yes","Enable MFA",""),IF(I12&lt;&gt;"Yes","Enable AV",""),IF(J12&gt;30,"Update patches",""),IF(TODAY()-K12&gt;14,"Check inactive device",""),IF(L12&lt;&gt;"Yes","Verify owner",""))</f>
        <v/>
      </c>
    </row>
    <row r="13">
      <c r="A13" s="2" t="inlineStr">
        <is>
          <t>IT-012</t>
        </is>
      </c>
      <c r="B13" s="2" t="inlineStr">
        <is>
          <t>DESK-003</t>
        </is>
      </c>
      <c r="C13" s="2" t="inlineStr">
        <is>
          <t>Sample User 4</t>
        </is>
      </c>
      <c r="D13" s="2" t="inlineStr">
        <is>
          <t>Desktop</t>
        </is>
      </c>
      <c r="E13" s="2" t="inlineStr">
        <is>
          <t>Windows 11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  <c r="J13" s="2" t="n">
        <v>27</v>
      </c>
      <c r="K13" s="3" t="n">
        <v>46169</v>
      </c>
      <c r="L13" s="2" t="inlineStr">
        <is>
          <t>Yes</t>
        </is>
      </c>
      <c r="M13" s="4">
        <f>IF(AND(F13="Yes",OR(G13="Yes",G13="N/A"),H13="Yes",I13="Yes",J13&lt;=30,TODAY()-K13&lt;=14,L13="Yes"),"Compliant","Non-Compliant")</f>
        <v/>
      </c>
      <c r="N13" s="5">
        <f>TEXTJOIN("; ",TRUE,IF(F13&lt;&gt;"Yes","Enroll in Intune",""),IF(AND(G13&lt;&gt;"Yes",G13&lt;&gt;"N/A"),"Enable BitLocker",""),IF(H13&lt;&gt;"Yes","Enable MFA",""),IF(I13&lt;&gt;"Yes","Enable AV",""),IF(J13&gt;30,"Update patches",""),IF(TODAY()-K13&gt;14,"Check inactive device",""),IF(L13&lt;&gt;"Yes","Verify owner",""))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Mini Endpoint Compliance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Total Assets</t>
        </is>
      </c>
      <c r="B3" s="7">
        <f>COUNTA('Asset Register'!A2:A13)</f>
        <v/>
      </c>
      <c r="C3" s="1" t="inlineStr">
        <is>
          <t>Compliant</t>
        </is>
      </c>
      <c r="D3" s="7">
        <f>COUNTIF('Asset Register'!M2:M13,"Compliant")</f>
        <v/>
      </c>
      <c r="E3" s="1" t="inlineStr">
        <is>
          <t>Non-Compliant</t>
        </is>
      </c>
      <c r="F3" s="7">
        <f>COUNTIF('Asset Register'!M2:M13,"Non-Compliant")</f>
        <v/>
      </c>
      <c r="G3" s="1" t="inlineStr">
        <is>
          <t>Compliance Rate</t>
        </is>
      </c>
      <c r="H3" s="8">
        <f>D3/B3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Issue</t>
        </is>
      </c>
      <c r="B6" s="2" t="inlineStr">
        <is>
          <t>Count</t>
        </is>
      </c>
      <c r="C6" s="2" t="n"/>
      <c r="D6" s="2" t="inlineStr">
        <is>
          <t>Status</t>
        </is>
      </c>
      <c r="E6" s="2" t="inlineStr">
        <is>
          <t>Count</t>
        </is>
      </c>
      <c r="F6" s="2" t="n"/>
      <c r="G6" s="2" t="n"/>
      <c r="H6" s="2" t="n"/>
    </row>
    <row r="7">
      <c r="A7" s="2" t="inlineStr">
        <is>
          <t>Intune not enrolled</t>
        </is>
      </c>
      <c r="B7" s="2">
        <f>COUNTIF('Asset Register'!N:N,"*Enroll in Intune*")</f>
        <v/>
      </c>
      <c r="C7" s="2" t="n"/>
      <c r="D7" s="2" t="inlineStr">
        <is>
          <t>Compliant</t>
        </is>
      </c>
      <c r="E7" s="2">
        <f>COUNTIF('Asset Register'!M:M,D7)</f>
        <v/>
      </c>
      <c r="F7" s="2" t="n"/>
      <c r="G7" s="2" t="n"/>
      <c r="H7" s="2" t="n"/>
    </row>
    <row r="8">
      <c r="A8" s="2" t="inlineStr">
        <is>
          <t>BitLocker missing</t>
        </is>
      </c>
      <c r="B8" s="2">
        <f>COUNTIF('Asset Register'!N:N,"*Enable BitLocker*")</f>
        <v/>
      </c>
      <c r="C8" s="2" t="n"/>
      <c r="D8" s="2" t="inlineStr">
        <is>
          <t>Non-Compliant</t>
        </is>
      </c>
      <c r="E8" s="2">
        <f>COUNTIF('Asset Register'!M:M,D8)</f>
        <v/>
      </c>
      <c r="F8" s="2" t="n"/>
      <c r="G8" s="2" t="n"/>
      <c r="H8" s="2" t="n"/>
    </row>
    <row r="9">
      <c r="A9" s="2" t="inlineStr">
        <is>
          <t>MFA disabled</t>
        </is>
      </c>
      <c r="B9" s="2">
        <f>COUNTIF('Asset Register'!N:N,"*Enable MFA*")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AV disabled</t>
        </is>
      </c>
      <c r="B10" s="2">
        <f>COUNTIF('Asset Register'!N:N,"*Enable AV*")</f>
        <v/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Patch overdue</t>
        </is>
      </c>
      <c r="B11" s="2">
        <f>COUNTIF('Asset Register'!N:N,"*Update patches*")</f>
        <v/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Inactive check-in</t>
        </is>
      </c>
      <c r="B12" s="2">
        <f>COUNTIF('Asset Register'!N:N,"*inactive device*")</f>
        <v/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Owner verification</t>
        </is>
      </c>
      <c r="B13" s="2">
        <f>COUNTIF('Asset Register'!N:N,"*Verify owner*")</f>
        <v/>
      </c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Control</t>
        </is>
      </c>
      <c r="B1" s="1" t="inlineStr">
        <is>
          <t>Why It Matters</t>
        </is>
      </c>
      <c r="C1" s="1" t="inlineStr">
        <is>
          <t>Evidence</t>
        </is>
      </c>
    </row>
    <row r="2">
      <c r="A2" s="2" t="inlineStr">
        <is>
          <t>Intune enrollment</t>
        </is>
      </c>
      <c r="B2" s="2" t="inlineStr">
        <is>
          <t>Confirms endpoint is centrally managed</t>
        </is>
      </c>
      <c r="C2" s="2" t="inlineStr">
        <is>
          <t>Enrollment status in asset register</t>
        </is>
      </c>
    </row>
    <row r="3">
      <c r="A3" s="2" t="inlineStr">
        <is>
          <t>BitLocker</t>
        </is>
      </c>
      <c r="B3" s="2" t="inlineStr">
        <is>
          <t>Protects company data if device is lost/stolen</t>
        </is>
      </c>
      <c r="C3" s="2" t="inlineStr">
        <is>
          <t>Encryption status</t>
        </is>
      </c>
    </row>
    <row r="4">
      <c r="A4" s="2" t="inlineStr">
        <is>
          <t>MFA</t>
        </is>
      </c>
      <c r="B4" s="2" t="inlineStr">
        <is>
          <t>Reduces account takeover risk</t>
        </is>
      </c>
      <c r="C4" s="2" t="inlineStr">
        <is>
          <t>MFA enabled field</t>
        </is>
      </c>
    </row>
    <row r="5">
      <c r="A5" s="2" t="inlineStr">
        <is>
          <t>Antivirus</t>
        </is>
      </c>
      <c r="B5" s="2" t="inlineStr">
        <is>
          <t>Confirms baseline endpoint protection</t>
        </is>
      </c>
      <c r="C5" s="2" t="inlineStr">
        <is>
          <t>AV enabled field</t>
        </is>
      </c>
    </row>
    <row r="6">
      <c r="A6" s="2" t="inlineStr">
        <is>
          <t>Patch age</t>
        </is>
      </c>
      <c r="B6" s="2" t="inlineStr">
        <is>
          <t>Reduces vulnerability exposure</t>
        </is>
      </c>
      <c r="C6" s="2" t="inlineStr">
        <is>
          <t>Patch age less than or equal to 30 days</t>
        </is>
      </c>
    </row>
    <row r="7">
      <c r="A7" s="2" t="inlineStr">
        <is>
          <t>Last check-in</t>
        </is>
      </c>
      <c r="B7" s="2" t="inlineStr">
        <is>
          <t>Flags stale or missing devices</t>
        </is>
      </c>
      <c r="C7" s="2" t="inlineStr">
        <is>
          <t>Last check-in within 14 days</t>
        </is>
      </c>
    </row>
    <row r="8">
      <c r="A8" s="2" t="inlineStr">
        <is>
          <t>Owner verification</t>
        </is>
      </c>
      <c r="B8" s="2" t="inlineStr">
        <is>
          <t>Improves asset accountability</t>
        </is>
      </c>
      <c r="C8" s="2" t="inlineStr">
        <is>
          <t>Owner verified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2026-05-27T09:51:41Z</dcterms:created>
  <dcterms:modified xmlns:dcterms="http://purl.org/dc/terms/" xmlns:xsi="http://www.w3.org/2001/XMLSchema-instance" xsi:type="dcterms:W3CDTF">2026-05-27T09:51:41Z</dcterms:modified>
</cp:coreProperties>
</file>